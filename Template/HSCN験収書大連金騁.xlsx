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勤怠データ\Template\"/>
    </mc:Choice>
  </mc:AlternateContent>
  <xr:revisionPtr revIDLastSave="0" documentId="13_ncr:1_{3ADBD618-12A5-490B-97CC-14CEC780E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eptance Request" sheetId="1" r:id="rId1"/>
    <sheet name="Timesheet_Template" sheetId="2" r:id="rId2"/>
    <sheet name="Delivery Note" sheetId="3" state="hidden" r:id="rId3"/>
    <sheet name="Data" sheetId="4" state="hidden" r:id="rId4"/>
  </sheets>
  <definedNames>
    <definedName name="_xlnm.Print_Area" localSheetId="0">'Acceptance Request'!$A$1:$K$39</definedName>
    <definedName name="_xlnm.Print_Area" localSheetId="2">'Delivery Note'!$A$1:$D$19</definedName>
    <definedName name="_xlnm.Print_Area" localSheetId="1">Timesheet_Template!$A$1:$I$38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D15" i="1"/>
  <c r="D16" i="1"/>
  <c r="D17" i="1"/>
  <c r="F15" i="1"/>
  <c r="F16" i="1"/>
  <c r="F17" i="1"/>
  <c r="G5" i="2"/>
  <c r="G6" i="2" l="1"/>
  <c r="K24" i="1" l="1"/>
  <c r="K23" i="1"/>
  <c r="K22" i="1"/>
  <c r="K21" i="1"/>
  <c r="K20" i="1"/>
  <c r="K19" i="1"/>
  <c r="K18" i="1"/>
  <c r="K17" i="1"/>
  <c r="K32" i="1"/>
  <c r="K31" i="1"/>
  <c r="K30" i="1"/>
  <c r="K29" i="1"/>
  <c r="K28" i="1"/>
  <c r="K27" i="1"/>
  <c r="K26" i="1"/>
  <c r="K25" i="1"/>
  <c r="K15" i="1"/>
  <c r="I12" i="1"/>
  <c r="F4" i="2"/>
  <c r="G9" i="1"/>
  <c r="A35" i="1"/>
  <c r="D9" i="1"/>
  <c r="A2" i="3"/>
  <c r="B8" i="2"/>
  <c r="H38" i="1"/>
  <c r="B34" i="1"/>
  <c r="A17" i="3"/>
  <c r="A2" i="1" l="1"/>
  <c r="I5" i="2" l="1"/>
  <c r="H39" i="1" l="1"/>
  <c r="A8" i="2" l="1"/>
  <c r="I34" i="1" l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Haibin Chen</author>
  </authors>
  <commentList>
    <comment ref="I3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Haibin Chen:</t>
        </r>
        <r>
          <rPr>
            <sz val="9"/>
            <color indexed="81"/>
            <rFont val="Tahoma"/>
            <family val="2"/>
          </rPr>
          <t xml:space="preserve">
必须为最终正确金额。与支付金额一致。</t>
        </r>
      </text>
    </comment>
  </commentList>
</comments>
</file>

<file path=xl/sharedStrings.xml><?xml version="1.0" encoding="utf-8"?>
<sst xmlns="http://schemas.openxmlformats.org/spreadsheetml/2006/main" count="105" uniqueCount="85">
  <si>
    <t>外包服务验收书</t>
    <phoneticPr fontId="3" type="noConversion"/>
  </si>
  <si>
    <t>合同编号：
Contract No.:</t>
    <phoneticPr fontId="3" type="noConversion"/>
  </si>
  <si>
    <t>项目名称：
Project name:</t>
    <phoneticPr fontId="3" type="noConversion"/>
  </si>
  <si>
    <t>供应商名称：
Supplier name:</t>
    <phoneticPr fontId="3" type="noConversion"/>
  </si>
  <si>
    <t>业务形式：
Service mode:</t>
    <phoneticPr fontId="3" type="noConversion"/>
  </si>
  <si>
    <t>作业内容：
Service content:</t>
    <phoneticPr fontId="3" type="noConversion"/>
  </si>
  <si>
    <t>成果物：
Deliverables：</t>
    <phoneticPr fontId="3" type="noConversion"/>
  </si>
  <si>
    <t>是否有成果物：
Whether or not there are deliverables:</t>
    <phoneticPr fontId="3" type="noConversion"/>
  </si>
  <si>
    <t>具体说明：
Please specify:</t>
    <phoneticPr fontId="3" type="noConversion"/>
  </si>
  <si>
    <t>阶段目标：
Milestone:</t>
    <phoneticPr fontId="3" type="noConversion"/>
  </si>
  <si>
    <t>业务期间：
Service period:</t>
    <phoneticPr fontId="3" type="noConversion"/>
  </si>
  <si>
    <t>~</t>
    <phoneticPr fontId="3" type="noConversion"/>
  </si>
  <si>
    <t>作业人员：
Engineer:</t>
    <phoneticPr fontId="3" type="noConversion"/>
  </si>
  <si>
    <t>人员名称
Name:</t>
    <phoneticPr fontId="3" type="noConversion"/>
  </si>
  <si>
    <t>级别
Level：</t>
    <phoneticPr fontId="3" type="noConversion"/>
  </si>
  <si>
    <t>开始时间
Start</t>
    <phoneticPr fontId="3" type="noConversion"/>
  </si>
  <si>
    <t>结束时间
End</t>
    <phoneticPr fontId="3" type="noConversion"/>
  </si>
  <si>
    <t>工数（月） Man month</t>
  </si>
  <si>
    <t>质量系数
quality coefficient</t>
    <phoneticPr fontId="3" type="noConversion"/>
  </si>
  <si>
    <t>合计金额
Total</t>
    <phoneticPr fontId="3" type="noConversion"/>
  </si>
  <si>
    <t>正常工时
Normal time</t>
    <phoneticPr fontId="3" type="noConversion"/>
  </si>
  <si>
    <t>加班工时
Overtime</t>
    <phoneticPr fontId="3" type="noConversion"/>
  </si>
  <si>
    <t>（0-1）</t>
    <phoneticPr fontId="3" type="noConversion"/>
  </si>
  <si>
    <t>CNY</t>
  </si>
  <si>
    <t>补贴/折扣(Subsidy/Discount)：</t>
    <phoneticPr fontId="3" type="noConversion"/>
  </si>
  <si>
    <t>差旅补贴：</t>
    <phoneticPr fontId="3" type="noConversion"/>
  </si>
  <si>
    <t xml:space="preserve">达成目标：
Pass:                                           </t>
    <phoneticPr fontId="3" type="noConversion"/>
  </si>
  <si>
    <t>未达成目标：
NG:</t>
    <phoneticPr fontId="3" type="noConversion"/>
  </si>
  <si>
    <t>√</t>
  </si>
  <si>
    <t>未达成目标原因及
处理建议:
Unqualified reason and suggestion:</t>
    <phoneticPr fontId="3" type="noConversion"/>
  </si>
  <si>
    <t>注：</t>
    <phoneticPr fontId="3" type="noConversion"/>
  </si>
  <si>
    <t xml:space="preserve">       请项目验收人完整填写以上信息，包括作业信息、交付成果物、金额以及项目验收结果等。如事后发现信息不完整，将退回重新填写与审批。</t>
    <phoneticPr fontId="3" type="noConversion"/>
  </si>
  <si>
    <t xml:space="preserve">       本验收单需要供应商盖章，盖章位置在供应商名称后的空白处即可。</t>
    <phoneticPr fontId="3" type="noConversion"/>
  </si>
  <si>
    <t xml:space="preserve">      如果是 T&amp;M项目，Timesheet应以附件形式添附，以便做为以上工时的补充说明。</t>
    <phoneticPr fontId="3" type="noConversion"/>
  </si>
  <si>
    <t>外包服务验收书——工时表</t>
  </si>
  <si>
    <t>Contractor's Time Record Declaration——Timesheet</t>
    <phoneticPr fontId="3" type="noConversion"/>
  </si>
  <si>
    <r>
      <t xml:space="preserve">1．公司名称：
</t>
    </r>
    <r>
      <rPr>
        <sz val="12"/>
        <color rgb="FF000000"/>
        <rFont val="微软雅黑"/>
        <family val="2"/>
        <charset val="134"/>
      </rPr>
      <t>Company Name:</t>
    </r>
    <phoneticPr fontId="3" type="noConversion"/>
  </si>
  <si>
    <r>
      <t xml:space="preserve">2．采购订单号：
</t>
    </r>
    <r>
      <rPr>
        <sz val="12"/>
        <color rgb="FF000000"/>
        <rFont val="微软雅黑"/>
        <family val="2"/>
        <charset val="134"/>
      </rPr>
      <t>Purchasing Order No.:</t>
    </r>
    <phoneticPr fontId="3" type="noConversion"/>
  </si>
  <si>
    <t>3．作业员姓名：
SE Name:</t>
    <phoneticPr fontId="3" type="noConversion"/>
  </si>
  <si>
    <t>4．等级
Level:</t>
    <phoneticPr fontId="3" type="noConversion"/>
  </si>
  <si>
    <r>
      <t xml:space="preserve">5．供应商负责人：
</t>
    </r>
    <r>
      <rPr>
        <sz val="12"/>
        <color rgb="FF000000"/>
        <rFont val="微软雅黑"/>
        <family val="2"/>
        <charset val="134"/>
      </rPr>
      <t>Contractor Supervisor:</t>
    </r>
    <r>
      <rPr>
        <sz val="12"/>
        <color indexed="8"/>
        <rFont val="微软雅黑"/>
        <family val="2"/>
        <charset val="134"/>
      </rPr>
      <t xml:space="preserve">
</t>
    </r>
    <phoneticPr fontId="3" type="noConversion"/>
  </si>
  <si>
    <t>作业期间(Service Period)</t>
    <phoneticPr fontId="3" type="noConversion"/>
  </si>
  <si>
    <t>工时(Hour)：</t>
    <phoneticPr fontId="3" type="noConversion"/>
  </si>
  <si>
    <t>人月(Month)：</t>
    <phoneticPr fontId="3" type="noConversion"/>
  </si>
  <si>
    <t>标准工时</t>
    <phoneticPr fontId="3" type="noConversion"/>
  </si>
  <si>
    <t>月</t>
    <rPh sb="0" eb="1">
      <t>ツキ</t>
    </rPh>
    <phoneticPr fontId="1"/>
  </si>
  <si>
    <t>日</t>
    <rPh sb="0" eb="1">
      <t>ヒ</t>
    </rPh>
    <phoneticPr fontId="1"/>
  </si>
  <si>
    <t>工作内容
Task Description</t>
    <rPh sb="0" eb="2">
      <t>サギョウ</t>
    </rPh>
    <rPh sb="2" eb="4">
      <t>ナイヨウ</t>
    </rPh>
    <phoneticPr fontId="1"/>
  </si>
  <si>
    <t>上班时间
（○点○分）</t>
    <rPh sb="0" eb="2">
      <t>シュッキン</t>
    </rPh>
    <rPh sb="2" eb="4">
      <t>ジカン</t>
    </rPh>
    <rPh sb="7" eb="8">
      <t>ジ</t>
    </rPh>
    <rPh sb="9" eb="10">
      <t>フン</t>
    </rPh>
    <phoneticPr fontId="1"/>
  </si>
  <si>
    <t>下班时间
（○点○分）</t>
    <rPh sb="0" eb="2">
      <t>タイキン</t>
    </rPh>
    <rPh sb="2" eb="4">
      <t>ジカン</t>
    </rPh>
    <phoneticPr fontId="1"/>
  </si>
  <si>
    <t>加班
（○小时）</t>
    <rPh sb="0" eb="2">
      <t>ザンギョウ</t>
    </rPh>
    <phoneticPr fontId="1"/>
  </si>
  <si>
    <t>缺勤
（○小时）</t>
  </si>
  <si>
    <t>工时
（小时）</t>
    <phoneticPr fontId="3" type="noConversion"/>
  </si>
  <si>
    <t>*有效工时按0.5小时单位计算，小于0.5小时不计算。</t>
  </si>
  <si>
    <t>采购交付单</t>
  </si>
  <si>
    <t>采购订单号：
P/O No.:</t>
    <phoneticPr fontId="22" type="noConversion"/>
  </si>
  <si>
    <t>供应商
Vendor:</t>
  </si>
  <si>
    <r>
      <t xml:space="preserve">交货地址：
</t>
    </r>
    <r>
      <rPr>
        <b/>
        <sz val="8"/>
        <color theme="1"/>
        <rFont val="微软雅黑"/>
        <family val="2"/>
        <charset val="134"/>
      </rPr>
      <t>Delivery 
Address</t>
    </r>
    <phoneticPr fontId="3" type="noConversion"/>
  </si>
  <si>
    <t>Item
ID</t>
    <phoneticPr fontId="15" type="noConversion"/>
  </si>
  <si>
    <t>产品描述
Description</t>
  </si>
  <si>
    <t>数量
Qty</t>
  </si>
  <si>
    <t>单位
Unit</t>
  </si>
  <si>
    <t>收货人
Recipient：</t>
  </si>
  <si>
    <t>日期
Date：</t>
  </si>
  <si>
    <t>Chief</t>
  </si>
  <si>
    <t>总监</t>
  </si>
  <si>
    <t>A Level</t>
  </si>
  <si>
    <t>Architect/Designer</t>
    <phoneticPr fontId="3" type="noConversion"/>
  </si>
  <si>
    <t>设计师/架构师</t>
  </si>
  <si>
    <t>B Level</t>
  </si>
  <si>
    <t>PM</t>
  </si>
  <si>
    <t>项目经理</t>
  </si>
  <si>
    <t>C Level</t>
  </si>
  <si>
    <t>Senior 2</t>
  </si>
  <si>
    <t>资深：n&gt;5Years</t>
  </si>
  <si>
    <t>D Level</t>
  </si>
  <si>
    <t>Senior 1</t>
  </si>
  <si>
    <t>资深：3Years≤n≤5Years</t>
  </si>
  <si>
    <t>E Level</t>
  </si>
  <si>
    <t>Junior</t>
  </si>
  <si>
    <t>新人：1Years≤n&lt;3Years</t>
  </si>
  <si>
    <t>F Level</t>
  </si>
  <si>
    <t>Beginner</t>
  </si>
  <si>
    <t>新人：无经验 or n&lt;1Year</t>
  </si>
  <si>
    <t>G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</si>
</sst>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_(* #,##0.00_);_(* \(#,##0.00\);_(* &quot;-&quot;??_);_(@_)"/>
    <numFmt numFmtId="177" formatCode="_ * #,##0.0_ ;_ * \-#,##0.0_ ;_ * &quot;-&quot;??_ ;_ @_ "/>
    <numFmt numFmtId="178" formatCode="_ * #,##0_ ;_ * \-#,##0_ ;_ * &quot;-&quot;??_ ;_ @_ "/>
    <numFmt numFmtId="179" formatCode="yyyy&quot;年&quot;m&quot;月&quot;;@"/>
    <numFmt numFmtId="180" formatCode="d"/>
    <numFmt numFmtId="181" formatCode="#,##0.000_ "/>
  </numFmts>
  <fonts count="28">
    <font>
      <sz val="11"/>
      <color theme="1"/>
      <name val="ＭＳ Ｐゴシック"/>
      <family val="2"/>
      <charset val="134"/>
      <scheme val="minor"/>
    </font>
    <font>
      <sz val="11"/>
      <color theme="1"/>
      <name val="ＭＳ Ｐゴシック"/>
      <family val="2"/>
      <charset val="134"/>
      <scheme val="minor"/>
    </font>
    <font>
      <b/>
      <sz val="20"/>
      <color theme="1"/>
      <name val="微软雅黑"/>
      <family val="2"/>
      <charset val="134"/>
    </font>
    <font>
      <sz val="9"/>
      <name val="ＭＳ Ｐゴシック"/>
      <family val="2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8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1"/>
      <color rgb="FF9C0006"/>
      <name val="ＭＳ Ｐゴシック"/>
      <family val="2"/>
      <scheme val="minor"/>
    </font>
    <font>
      <sz val="12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u/>
      <sz val="16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8"/>
      <color theme="1"/>
      <name val="微软雅黑"/>
      <family val="2"/>
      <charset val="134"/>
    </font>
    <font>
      <sz val="12"/>
      <color rgb="FF000000"/>
      <name val="宋体"/>
      <family val="3"/>
      <charset val="134"/>
    </font>
    <font>
      <sz val="12"/>
      <color rgb="FF00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43" fontId="5" fillId="0" borderId="1" xfId="1" applyFont="1" applyBorder="1" applyProtection="1">
      <alignment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43" fontId="5" fillId="0" borderId="0" xfId="1" applyFont="1">
      <alignment vertical="center"/>
    </xf>
    <xf numFmtId="177" fontId="5" fillId="0" borderId="0" xfId="1" applyNumberFormat="1" applyFont="1">
      <alignment vertical="center"/>
    </xf>
    <xf numFmtId="0" fontId="10" fillId="0" borderId="0" xfId="0" applyFont="1">
      <alignment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1" xfId="1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17" fillId="0" borderId="1" xfId="1" applyNumberFormat="1" applyFont="1" applyBorder="1" applyAlignment="1">
      <alignment horizontal="center" vertical="center" wrapText="1"/>
    </xf>
    <xf numFmtId="43" fontId="5" fillId="0" borderId="1" xfId="1" applyFont="1" applyBorder="1" applyProtection="1">
      <alignment vertical="center"/>
    </xf>
    <xf numFmtId="0" fontId="20" fillId="0" borderId="0" xfId="0" applyFont="1">
      <alignment vertical="center"/>
    </xf>
    <xf numFmtId="0" fontId="7" fillId="0" borderId="0" xfId="0" applyFont="1" applyAlignment="1">
      <alignment vertical="center" wrapText="1"/>
    </xf>
    <xf numFmtId="43" fontId="7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0" fillId="0" borderId="1" xfId="1" applyNumberFormat="1" applyFont="1" applyBorder="1" applyAlignment="1" applyProtection="1">
      <alignment vertical="center" wrapText="1"/>
      <protection locked="0"/>
    </xf>
    <xf numFmtId="0" fontId="20" fillId="0" borderId="0" xfId="0" applyFont="1" applyAlignment="1">
      <alignment vertical="center" wrapText="1"/>
    </xf>
    <xf numFmtId="43" fontId="20" fillId="0" borderId="0" xfId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3" fillId="0" borderId="1" xfId="0" quotePrefix="1" applyFont="1" applyBorder="1" applyAlignment="1">
      <alignment horizontal="center" vertical="center"/>
    </xf>
    <xf numFmtId="180" fontId="13" fillId="0" borderId="1" xfId="0" applyNumberFormat="1" applyFont="1" applyBorder="1" applyAlignment="1">
      <alignment horizontal="center" vertical="center"/>
    </xf>
    <xf numFmtId="43" fontId="13" fillId="0" borderId="1" xfId="1" applyFont="1" applyFill="1" applyBorder="1" applyAlignment="1" applyProtection="1">
      <alignment horizontal="center" vertical="center"/>
      <protection locked="0"/>
    </xf>
    <xf numFmtId="43" fontId="13" fillId="0" borderId="1" xfId="1" applyFont="1" applyFill="1" applyBorder="1" applyProtection="1">
      <alignment vertical="center"/>
      <protection locked="0"/>
    </xf>
    <xf numFmtId="177" fontId="17" fillId="0" borderId="1" xfId="1" applyNumberFormat="1" applyFont="1" applyFill="1" applyBorder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43" fontId="5" fillId="0" borderId="0" xfId="1" applyFont="1" applyProtection="1">
      <alignment vertical="center"/>
      <protection locked="0"/>
    </xf>
    <xf numFmtId="177" fontId="5" fillId="0" borderId="0" xfId="1" applyNumberFormat="1" applyFont="1" applyProtection="1">
      <alignment vertical="center"/>
      <protection locked="0"/>
    </xf>
    <xf numFmtId="0" fontId="13" fillId="0" borderId="1" xfId="0" applyFont="1" applyBorder="1" applyProtection="1">
      <alignment vertical="center"/>
      <protection locked="0"/>
    </xf>
    <xf numFmtId="14" fontId="5" fillId="0" borderId="0" xfId="0" applyNumberFormat="1" applyFont="1">
      <alignment vertical="center"/>
    </xf>
    <xf numFmtId="0" fontId="5" fillId="0" borderId="0" xfId="0" applyFont="1" applyProtection="1">
      <alignment vertical="center"/>
      <protection hidden="1"/>
    </xf>
    <xf numFmtId="49" fontId="19" fillId="0" borderId="0" xfId="0" applyNumberFormat="1" applyFont="1" applyAlignment="1">
      <alignment horizontal="right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 applyProtection="1">
      <alignment horizontal="left" vertical="top" wrapText="1"/>
      <protection locked="0"/>
    </xf>
    <xf numFmtId="43" fontId="20" fillId="0" borderId="1" xfId="1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43" fontId="7" fillId="0" borderId="0" xfId="1" applyFont="1" applyAlignment="1">
      <alignment horizontal="right" vertical="center"/>
    </xf>
    <xf numFmtId="43" fontId="4" fillId="0" borderId="0" xfId="1" applyFont="1" applyAlignment="1">
      <alignment horizontal="center" vertical="center"/>
    </xf>
    <xf numFmtId="0" fontId="20" fillId="0" borderId="0" xfId="0" applyFont="1" applyProtection="1">
      <alignment vertical="center"/>
      <protection locked="0"/>
    </xf>
    <xf numFmtId="0" fontId="4" fillId="0" borderId="6" xfId="0" applyFont="1" applyBorder="1" applyAlignment="1" applyProtection="1">
      <alignment horizontal="center" vertical="center" wrapText="1"/>
      <protection locked="0" hidden="1"/>
    </xf>
    <xf numFmtId="0" fontId="6" fillId="0" borderId="4" xfId="0" applyFont="1" applyBorder="1" applyAlignment="1">
      <alignment horizontal="center" vertical="center"/>
    </xf>
    <xf numFmtId="0" fontId="16" fillId="0" borderId="1" xfId="0" applyFont="1" applyBorder="1" applyAlignment="1" applyProtection="1">
      <alignment vertical="top"/>
      <protection locked="0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16" fillId="0" borderId="5" xfId="0" applyFont="1" applyBorder="1" applyAlignment="1" applyProtection="1">
      <alignment vertical="center" wrapText="1"/>
      <protection hidden="1"/>
    </xf>
    <xf numFmtId="43" fontId="5" fillId="0" borderId="4" xfId="1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vertical="top" wrapText="1"/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locked="0"/>
    </xf>
    <xf numFmtId="20" fontId="13" fillId="0" borderId="1" xfId="1" applyNumberFormat="1" applyFont="1" applyFill="1" applyBorder="1" applyAlignment="1" applyProtection="1">
      <alignment horizontal="center" vertical="center"/>
      <protection locked="0"/>
    </xf>
    <xf numFmtId="49" fontId="14" fillId="0" borderId="7" xfId="0" applyNumberFormat="1" applyFont="1" applyBorder="1" applyProtection="1">
      <alignment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center"/>
      <protection hidden="1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177" fontId="5" fillId="0" borderId="1" xfId="1" applyNumberFormat="1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4" fontId="5" fillId="0" borderId="7" xfId="0" applyNumberFormat="1" applyFont="1" applyBorder="1" applyAlignment="1">
      <alignment horizontal="right" vertical="center"/>
    </xf>
    <xf numFmtId="0" fontId="5" fillId="0" borderId="1" xfId="0" applyFont="1" applyBorder="1" applyProtection="1">
      <alignment vertical="center"/>
      <protection locked="0"/>
    </xf>
    <xf numFmtId="181" fontId="5" fillId="0" borderId="1" xfId="1" applyNumberFormat="1" applyFont="1" applyBorder="1" applyAlignment="1" applyProtection="1">
      <alignment vertical="center"/>
      <protection locked="0"/>
    </xf>
    <xf numFmtId="43" fontId="5" fillId="0" borderId="1" xfId="1" applyFont="1" applyBorder="1" applyAlignment="1" applyProtection="1">
      <alignment horizontal="right" vertical="center"/>
      <protection locked="0"/>
    </xf>
    <xf numFmtId="43" fontId="13" fillId="3" borderId="1" xfId="1" applyFont="1" applyFill="1" applyBorder="1" applyProtection="1">
      <alignment vertical="center"/>
      <protection locked="0"/>
    </xf>
    <xf numFmtId="177" fontId="17" fillId="3" borderId="1" xfId="1" applyNumberFormat="1" applyFont="1" applyFill="1" applyBorder="1" applyProtection="1">
      <alignment vertical="center"/>
      <protection locked="0"/>
    </xf>
    <xf numFmtId="180" fontId="27" fillId="3" borderId="1" xfId="0" applyNumberFormat="1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top" wrapText="1"/>
      <protection locked="0"/>
    </xf>
    <xf numFmtId="0" fontId="13" fillId="0" borderId="7" xfId="0" applyFont="1" applyBorder="1" applyAlignment="1" applyProtection="1">
      <alignment horizontal="center" vertical="top" wrapText="1"/>
      <protection locked="0"/>
    </xf>
    <xf numFmtId="0" fontId="13" fillId="3" borderId="5" xfId="0" applyFont="1" applyFill="1" applyBorder="1" applyAlignment="1" applyProtection="1">
      <alignment horizontal="center" vertical="top" wrapText="1"/>
      <protection locked="0"/>
    </xf>
    <xf numFmtId="0" fontId="13" fillId="3" borderId="7" xfId="0" applyFont="1" applyFill="1" applyBorder="1" applyAlignment="1" applyProtection="1">
      <alignment horizontal="center" vertical="top" wrapText="1"/>
      <protection locked="0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0" fontId="16" fillId="0" borderId="1" xfId="0" applyFont="1" applyBorder="1" applyAlignment="1" applyProtection="1">
      <alignment horizontal="left" vertical="top" wrapText="1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5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1" xfId="0" applyFont="1" applyBorder="1" applyAlignment="1" applyProtection="1">
      <alignment horizontal="left" vertical="top" wrapText="1"/>
      <protection hidden="1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179" fontId="6" fillId="0" borderId="10" xfId="0" applyNumberFormat="1" applyFont="1" applyBorder="1" applyAlignment="1" applyProtection="1">
      <alignment horizontal="center" vertical="center"/>
      <protection locked="0"/>
    </xf>
    <xf numFmtId="179" fontId="6" fillId="0" borderId="12" xfId="0" applyNumberFormat="1" applyFont="1" applyBorder="1" applyAlignment="1" applyProtection="1">
      <alignment horizontal="center" vertical="center"/>
      <protection locked="0"/>
    </xf>
    <xf numFmtId="179" fontId="6" fillId="0" borderId="8" xfId="0" applyNumberFormat="1" applyFont="1" applyBorder="1" applyAlignment="1" applyProtection="1">
      <alignment horizontal="center" vertical="center"/>
      <protection locked="0"/>
    </xf>
    <xf numFmtId="179" fontId="6" fillId="0" borderId="13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6" fillId="0" borderId="2" xfId="0" applyFont="1" applyBorder="1" applyAlignment="1" applyProtection="1">
      <alignment horizontal="left" vertical="top"/>
      <protection locked="0"/>
    </xf>
    <xf numFmtId="49" fontId="4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  <protection locked="0" hidden="1"/>
    </xf>
    <xf numFmtId="0" fontId="4" fillId="0" borderId="7" xfId="0" applyFont="1" applyBorder="1" applyAlignment="1" applyProtection="1">
      <alignment horizontal="center" vertical="center" wrapText="1"/>
      <protection locked="0" hidden="1"/>
    </xf>
    <xf numFmtId="0" fontId="4" fillId="0" borderId="1" xfId="0" applyFont="1" applyBorder="1" applyAlignment="1" applyProtection="1">
      <alignment horizontal="left" vertical="center" wrapText="1"/>
      <protection locked="0"/>
    </xf>
    <xf numFmtId="49" fontId="26" fillId="0" borderId="8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4" fillId="0" borderId="5" xfId="0" applyFont="1" applyBorder="1" applyAlignment="1" applyProtection="1">
      <alignment horizontal="left" vertical="top"/>
      <protection locked="0"/>
    </xf>
    <xf numFmtId="0" fontId="4" fillId="0" borderId="6" xfId="0" applyFont="1" applyBorder="1" applyAlignment="1" applyProtection="1">
      <alignment horizontal="left" vertical="top"/>
      <protection locked="0"/>
    </xf>
    <xf numFmtId="0" fontId="4" fillId="0" borderId="7" xfId="0" applyFont="1" applyBorder="1" applyAlignment="1" applyProtection="1">
      <alignment horizontal="left" vertical="top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14" fontId="5" fillId="0" borderId="5" xfId="0" applyNumberFormat="1" applyFont="1" applyBorder="1" applyAlignment="1">
      <alignment horizontal="right" vertical="center"/>
    </xf>
    <xf numFmtId="14" fontId="5" fillId="0" borderId="6" xfId="0" applyNumberFormat="1" applyFont="1" applyBorder="1" applyAlignment="1">
      <alignment horizontal="right" vertical="center"/>
    </xf>
    <xf numFmtId="14" fontId="5" fillId="0" borderId="7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right" vertical="center"/>
    </xf>
    <xf numFmtId="14" fontId="4" fillId="0" borderId="7" xfId="0" applyNumberFormat="1" applyFont="1" applyBorder="1" applyAlignment="1">
      <alignment horizontal="right" vertical="center"/>
    </xf>
    <xf numFmtId="43" fontId="26" fillId="0" borderId="5" xfId="1" applyFont="1" applyBorder="1" applyAlignment="1" applyProtection="1">
      <alignment horizontal="right" vertical="center"/>
      <protection locked="0"/>
    </xf>
    <xf numFmtId="43" fontId="26" fillId="0" borderId="6" xfId="1" applyFont="1" applyBorder="1" applyAlignment="1" applyProtection="1">
      <alignment horizontal="right" vertical="center"/>
      <protection locked="0"/>
    </xf>
    <xf numFmtId="43" fontId="26" fillId="0" borderId="7" xfId="1" applyFont="1" applyBorder="1" applyAlignment="1" applyProtection="1">
      <alignment horizontal="right" vertical="center"/>
      <protection locked="0"/>
    </xf>
    <xf numFmtId="43" fontId="20" fillId="0" borderId="0" xfId="1" applyFont="1" applyBorder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18" fillId="0" borderId="0" xfId="0" applyFont="1" applyAlignment="1">
      <alignment horizontal="left" vertical="top"/>
    </xf>
    <xf numFmtId="49" fontId="4" fillId="0" borderId="0" xfId="1" applyNumberFormat="1" applyFont="1" applyAlignment="1" applyProtection="1">
      <alignment horizontal="center" vertical="center"/>
      <protection locked="0"/>
    </xf>
  </cellXfs>
  <cellStyles count="2">
    <cellStyle name="桁区切り [0.00]" xfId="1" builtinId="3"/>
    <cellStyle name="標準" xfId="0" builtinId="0"/>
  </cellStyles>
  <dxfs count="2">
    <dxf>
      <font>
        <b/>
        <i val="0"/>
        <color theme="0"/>
      </font>
      <fill>
        <patternFill>
          <bgColor rgb="FF00B0F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654050</xdr:colOff>
      <xdr:row>2</xdr:row>
      <xdr:rowOff>273050</xdr:rowOff>
    </xdr:from>
    <xdr:to>
      <xdr:col>12</xdr:col>
      <xdr:colOff>635000</xdr:colOff>
      <xdr:row>7</xdr:row>
      <xdr:rowOff>165100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D76D74CB-F84C-47FD-820F-79EC692A2241}"/>
            </a:ext>
          </a:extLst>
        </xdr:cNvPr>
        <xdr:cNvSpPr/>
      </xdr:nvSpPr>
      <xdr:spPr>
        <a:xfrm>
          <a:off x="10394950" y="831850"/>
          <a:ext cx="2470150" cy="1409700"/>
        </a:xfrm>
        <a:prstGeom prst="wedgeRoundRectCallout">
          <a:avLst>
            <a:gd name="adj1" fmla="val -67205"/>
            <a:gd name="adj2" fmla="val 2688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当业务形式为</a:t>
          </a:r>
          <a:r>
            <a:rPr lang="en-US" altLang="zh-CN" sz="1100"/>
            <a:t>T&amp;M</a:t>
          </a:r>
          <a:r>
            <a:rPr lang="zh-CN" altLang="en-US" sz="1100"/>
            <a:t>（工时与材料）时，需要额外提交此表，做为工时依据。</a:t>
          </a:r>
          <a:endParaRPr lang="en-US" altLang="zh-CN" sz="1100"/>
        </a:p>
        <a:p>
          <a:pPr algn="l"/>
          <a:r>
            <a:rPr lang="zh-CN" altLang="en-US" sz="1100"/>
            <a:t>请确保作业内容与合同一致。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5</xdr:row>
      <xdr:rowOff>247650</xdr:rowOff>
    </xdr:from>
    <xdr:to>
      <xdr:col>10</xdr:col>
      <xdr:colOff>142875</xdr:colOff>
      <xdr:row>8</xdr:row>
      <xdr:rowOff>552450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77E4AE66-8087-4125-A60A-D93466AAA380}"/>
            </a:ext>
          </a:extLst>
        </xdr:cNvPr>
        <xdr:cNvSpPr/>
      </xdr:nvSpPr>
      <xdr:spPr>
        <a:xfrm>
          <a:off x="9944100" y="1476375"/>
          <a:ext cx="3495675" cy="1333500"/>
        </a:xfrm>
        <a:prstGeom prst="wedgeRoundRectCallout">
          <a:avLst>
            <a:gd name="adj1" fmla="val -67205"/>
            <a:gd name="adj2" fmla="val 2688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1. </a:t>
          </a:r>
          <a:r>
            <a:rPr lang="zh-CN" altLang="en-US" sz="1100"/>
            <a:t>软硬件等采购时，使用此交付单。内容应与合同一致。</a:t>
          </a:r>
          <a:endParaRPr lang="en-US" altLang="zh-CN" sz="1100"/>
        </a:p>
        <a:p>
          <a:pPr algn="l"/>
          <a:r>
            <a:rPr lang="en-US" altLang="zh-CN" sz="1100"/>
            <a:t>2. </a:t>
          </a:r>
          <a:r>
            <a:rPr lang="zh-CN" altLang="en-US" sz="1100"/>
            <a:t>送货地址是否与合同约定的一致。请妥善保存物流凭证，后期会进行抽查。</a:t>
          </a:r>
          <a:endParaRPr lang="en-US" altLang="zh-CN" sz="1100"/>
        </a:p>
        <a:p>
          <a:pPr algn="l"/>
          <a:r>
            <a:rPr lang="en-US" altLang="zh-CN" sz="1100"/>
            <a:t>3.</a:t>
          </a:r>
          <a:r>
            <a:rPr lang="en-US" altLang="zh-CN" sz="1100" baseline="0"/>
            <a:t> </a:t>
          </a:r>
          <a:r>
            <a:rPr lang="zh-CN" altLang="en-US" sz="1100" baseline="0"/>
            <a:t>本交付单</a:t>
          </a:r>
          <a:r>
            <a:rPr lang="zh-CN" altLang="en-US" sz="1100"/>
            <a:t>需要供应商盖章。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43"/>
  <sheetViews>
    <sheetView tabSelected="1" topLeftCell="A4" zoomScale="85" zoomScaleNormal="85" workbookViewId="0">
      <selection activeCell="M15" sqref="M15"/>
    </sheetView>
  </sheetViews>
  <sheetFormatPr defaultColWidth="13.5" defaultRowHeight="16.5" outlineLevelRow="1"/>
  <cols>
    <col min="1" max="1" width="20.5" style="7" customWidth="1"/>
    <col min="2" max="2" width="14" style="2" customWidth="1"/>
    <col min="3" max="3" width="14.75" style="2" customWidth="1"/>
    <col min="4" max="4" width="13.5" style="2" bestFit="1" customWidth="1"/>
    <col min="5" max="5" width="3.25" style="2" bestFit="1" customWidth="1"/>
    <col min="6" max="6" width="14.125" style="2" bestFit="1" customWidth="1"/>
    <col min="7" max="8" width="10.75" style="2" customWidth="1"/>
    <col min="9" max="9" width="11.75" style="2" customWidth="1"/>
    <col min="10" max="10" width="11.625" style="2" customWidth="1"/>
    <col min="11" max="11" width="13" style="2" bestFit="1" customWidth="1"/>
    <col min="12" max="16384" width="13.5" style="2"/>
  </cols>
  <sheetData>
    <row r="1" spans="1:11" ht="29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ht="18">
      <c r="A2" s="104" t="str">
        <f>IF(A1="外包服务验收书","Acceptance Request","Project Progress Report")</f>
        <v>Acceptance Request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17.25">
      <c r="A3" s="103"/>
      <c r="B3" s="103"/>
      <c r="C3" s="103"/>
      <c r="D3" s="103"/>
      <c r="E3" s="103"/>
      <c r="F3" s="103"/>
      <c r="G3" s="103"/>
      <c r="H3" s="103"/>
      <c r="K3" s="11"/>
    </row>
    <row r="4" spans="1:11" ht="36.75" customHeight="1">
      <c r="A4" s="8"/>
      <c r="B4" s="1"/>
      <c r="C4" s="1"/>
      <c r="D4" s="1"/>
      <c r="E4" s="1"/>
      <c r="H4" s="105" t="s">
        <v>1</v>
      </c>
      <c r="I4" s="105"/>
      <c r="J4" s="111"/>
      <c r="K4" s="111"/>
    </row>
    <row r="5" spans="1:11" ht="45" customHeight="1">
      <c r="A5" s="9" t="s">
        <v>2</v>
      </c>
      <c r="B5" s="98"/>
      <c r="C5" s="98"/>
      <c r="D5" s="98"/>
      <c r="E5" s="98"/>
      <c r="F5" s="98"/>
      <c r="G5" s="98"/>
      <c r="H5" s="98"/>
      <c r="I5" s="98"/>
      <c r="J5" s="98"/>
      <c r="K5" s="98"/>
    </row>
    <row r="6" spans="1:11" ht="45" customHeight="1">
      <c r="A6" s="9" t="s">
        <v>3</v>
      </c>
      <c r="B6" s="98"/>
      <c r="C6" s="98"/>
      <c r="D6" s="98"/>
      <c r="E6" s="98"/>
      <c r="F6" s="98"/>
      <c r="G6" s="98"/>
      <c r="H6" s="98"/>
      <c r="I6" s="98"/>
      <c r="J6" s="98"/>
      <c r="K6" s="98"/>
    </row>
    <row r="7" spans="1:11" ht="45" customHeight="1">
      <c r="A7" s="9" t="s">
        <v>4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</row>
    <row r="8" spans="1:11" ht="171" customHeight="1">
      <c r="A8" s="9" t="s">
        <v>5</v>
      </c>
      <c r="B8" s="98"/>
      <c r="C8" s="98"/>
      <c r="D8" s="98"/>
      <c r="E8" s="98"/>
      <c r="F8" s="98"/>
      <c r="G8" s="98"/>
      <c r="H8" s="98"/>
      <c r="I8" s="98"/>
      <c r="J8" s="98"/>
      <c r="K8" s="98"/>
    </row>
    <row r="9" spans="1:11" ht="69" customHeight="1">
      <c r="A9" s="9" t="s">
        <v>6</v>
      </c>
      <c r="B9" s="106" t="s">
        <v>7</v>
      </c>
      <c r="C9" s="107"/>
      <c r="D9" s="50" t="str">
        <f>IF(B7="T&amp;M（工时与材料）","有 Yes","")</f>
        <v/>
      </c>
      <c r="E9" s="107" t="s">
        <v>8</v>
      </c>
      <c r="F9" s="107"/>
      <c r="G9" s="108" t="str">
        <f>IF(B7="T&amp;M（工时与材料）","Timesheet","")</f>
        <v/>
      </c>
      <c r="H9" s="108"/>
      <c r="I9" s="108"/>
      <c r="J9" s="108"/>
      <c r="K9" s="109"/>
    </row>
    <row r="10" spans="1:11" ht="45" customHeight="1">
      <c r="A10" s="9" t="s">
        <v>9</v>
      </c>
      <c r="B10" s="114"/>
      <c r="C10" s="115"/>
      <c r="D10" s="115"/>
      <c r="E10" s="115"/>
      <c r="F10" s="115"/>
      <c r="G10" s="115"/>
      <c r="H10" s="115"/>
      <c r="I10" s="115"/>
      <c r="J10" s="115"/>
      <c r="K10" s="116"/>
    </row>
    <row r="11" spans="1:11" ht="45" customHeight="1">
      <c r="A11" s="9" t="s">
        <v>10</v>
      </c>
      <c r="B11" s="3"/>
      <c r="C11" s="5" t="s">
        <v>11</v>
      </c>
      <c r="D11" s="3"/>
      <c r="E11" s="99"/>
      <c r="F11" s="100"/>
      <c r="G11" s="100"/>
      <c r="H11" s="100"/>
      <c r="I11" s="100"/>
      <c r="J11" s="100"/>
      <c r="K11" s="101"/>
    </row>
    <row r="12" spans="1:11" ht="31.5" customHeight="1" outlineLevel="1">
      <c r="A12" s="118" t="s">
        <v>12</v>
      </c>
      <c r="B12" s="132" t="s">
        <v>13</v>
      </c>
      <c r="C12" s="112" t="s">
        <v>14</v>
      </c>
      <c r="D12" s="132" t="s">
        <v>15</v>
      </c>
      <c r="E12" s="135" t="s">
        <v>11</v>
      </c>
      <c r="F12" s="132" t="s">
        <v>16</v>
      </c>
      <c r="G12" s="124" t="s">
        <v>17</v>
      </c>
      <c r="H12" s="125"/>
      <c r="I12" s="112" t="str">
        <f>IF(G12="工数（天） Man day","单价（天）Unit Price Per day","单价（月）Unit Price Per month")</f>
        <v>单价（月）Unit Price Per month</v>
      </c>
      <c r="J12" s="112" t="s">
        <v>18</v>
      </c>
      <c r="K12" s="112" t="s">
        <v>19</v>
      </c>
    </row>
    <row r="13" spans="1:11" outlineLevel="1">
      <c r="A13" s="119"/>
      <c r="B13" s="133"/>
      <c r="C13" s="136"/>
      <c r="D13" s="133"/>
      <c r="E13" s="136"/>
      <c r="F13" s="133"/>
      <c r="G13" s="112" t="s">
        <v>20</v>
      </c>
      <c r="H13" s="112" t="s">
        <v>21</v>
      </c>
      <c r="I13" s="138"/>
      <c r="J13" s="113"/>
      <c r="K13" s="113"/>
    </row>
    <row r="14" spans="1:11" ht="32.25" customHeight="1" outlineLevel="1">
      <c r="A14" s="119"/>
      <c r="B14" s="134"/>
      <c r="C14" s="137"/>
      <c r="D14" s="134"/>
      <c r="E14" s="137"/>
      <c r="F14" s="134"/>
      <c r="G14" s="113"/>
      <c r="H14" s="113"/>
      <c r="I14" s="113"/>
      <c r="J14" s="61" t="s">
        <v>22</v>
      </c>
      <c r="K14" s="12" t="s">
        <v>23</v>
      </c>
    </row>
    <row r="15" spans="1:11" ht="17.25" customHeight="1" outlineLevel="1">
      <c r="A15" s="119"/>
      <c r="B15" s="63"/>
      <c r="C15" s="68"/>
      <c r="D15" s="64">
        <f>$B$11</f>
        <v>0</v>
      </c>
      <c r="E15" s="64" t="s">
        <v>11</v>
      </c>
      <c r="F15" s="64">
        <f>$D$11</f>
        <v>0</v>
      </c>
      <c r="G15" s="69">
        <v>0.99</v>
      </c>
      <c r="H15" s="4"/>
      <c r="I15" s="65"/>
      <c r="J15" s="65">
        <v>1</v>
      </c>
      <c r="K15" s="20">
        <f>(G15+H15)*I15*J15</f>
        <v>0</v>
      </c>
    </row>
    <row r="16" spans="1:11" ht="17.25" customHeight="1" outlineLevel="1">
      <c r="A16" s="119"/>
      <c r="B16" s="63"/>
      <c r="C16" s="35"/>
      <c r="D16" s="64">
        <f t="shared" ref="D16:D17" si="0">$B$11</f>
        <v>0</v>
      </c>
      <c r="E16" s="64" t="s">
        <v>11</v>
      </c>
      <c r="F16" s="64">
        <f t="shared" ref="F16:F17" si="1">$D$11</f>
        <v>0</v>
      </c>
      <c r="G16" s="69">
        <v>1</v>
      </c>
      <c r="H16" s="70"/>
      <c r="I16" s="65"/>
      <c r="J16" s="65">
        <v>1</v>
      </c>
      <c r="K16" s="20">
        <f>(G16+H16)*I16*J16</f>
        <v>0</v>
      </c>
    </row>
    <row r="17" spans="1:11" ht="17.25" customHeight="1" outlineLevel="1">
      <c r="A17" s="119"/>
      <c r="B17" s="63"/>
      <c r="C17" s="66"/>
      <c r="D17" s="64">
        <f t="shared" si="0"/>
        <v>0</v>
      </c>
      <c r="E17" s="64" t="s">
        <v>11</v>
      </c>
      <c r="F17" s="64">
        <f t="shared" si="1"/>
        <v>0</v>
      </c>
      <c r="G17" s="69">
        <v>0.56999999999999995</v>
      </c>
      <c r="H17" s="4"/>
      <c r="I17" s="65"/>
      <c r="J17" s="65">
        <v>1</v>
      </c>
      <c r="K17" s="20">
        <f t="shared" ref="K17:K24" si="2">(G17+H17)*I17*J17</f>
        <v>0</v>
      </c>
    </row>
    <row r="18" spans="1:11" ht="17.25" customHeight="1" outlineLevel="1">
      <c r="A18" s="119"/>
      <c r="B18" s="63"/>
      <c r="C18" s="66"/>
      <c r="D18" s="64"/>
      <c r="E18" s="64" t="s">
        <v>11</v>
      </c>
      <c r="F18" s="64"/>
      <c r="G18" s="69"/>
      <c r="H18" s="4"/>
      <c r="I18" s="65"/>
      <c r="J18" s="65">
        <v>1</v>
      </c>
      <c r="K18" s="20">
        <f t="shared" si="2"/>
        <v>0</v>
      </c>
    </row>
    <row r="19" spans="1:11" ht="17.25" customHeight="1" outlineLevel="1">
      <c r="A19" s="119"/>
      <c r="B19" s="63"/>
      <c r="C19" s="66"/>
      <c r="D19" s="64"/>
      <c r="E19" s="64" t="s">
        <v>11</v>
      </c>
      <c r="F19" s="64"/>
      <c r="G19" s="69"/>
      <c r="H19" s="4"/>
      <c r="I19" s="65"/>
      <c r="J19" s="65">
        <v>1</v>
      </c>
      <c r="K19" s="20">
        <f t="shared" si="2"/>
        <v>0</v>
      </c>
    </row>
    <row r="20" spans="1:11" ht="17.25" customHeight="1" outlineLevel="1">
      <c r="A20" s="119"/>
      <c r="B20" s="63"/>
      <c r="C20" s="66"/>
      <c r="D20" s="64"/>
      <c r="E20" s="64" t="s">
        <v>11</v>
      </c>
      <c r="F20" s="64"/>
      <c r="G20" s="69"/>
      <c r="H20" s="4"/>
      <c r="I20" s="65"/>
      <c r="J20" s="65">
        <v>1</v>
      </c>
      <c r="K20" s="20">
        <f t="shared" si="2"/>
        <v>0</v>
      </c>
    </row>
    <row r="21" spans="1:11" ht="17.25" customHeight="1" outlineLevel="1">
      <c r="A21" s="119"/>
      <c r="B21" s="63"/>
      <c r="C21" s="66"/>
      <c r="D21" s="64"/>
      <c r="E21" s="64" t="s">
        <v>11</v>
      </c>
      <c r="F21" s="64"/>
      <c r="G21" s="69"/>
      <c r="H21" s="4"/>
      <c r="I21" s="65"/>
      <c r="J21" s="65">
        <v>1</v>
      </c>
      <c r="K21" s="20">
        <f t="shared" si="2"/>
        <v>0</v>
      </c>
    </row>
    <row r="22" spans="1:11" ht="17.25" customHeight="1" outlineLevel="1">
      <c r="A22" s="119"/>
      <c r="B22" s="63"/>
      <c r="C22" s="66"/>
      <c r="D22" s="64"/>
      <c r="E22" s="64" t="s">
        <v>11</v>
      </c>
      <c r="F22" s="64"/>
      <c r="G22" s="69"/>
      <c r="H22" s="4"/>
      <c r="I22" s="65"/>
      <c r="J22" s="65">
        <v>1</v>
      </c>
      <c r="K22" s="20">
        <f t="shared" si="2"/>
        <v>0</v>
      </c>
    </row>
    <row r="23" spans="1:11" ht="17.25" customHeight="1" outlineLevel="1">
      <c r="A23" s="119"/>
      <c r="B23" s="63"/>
      <c r="C23" s="66"/>
      <c r="D23" s="64"/>
      <c r="E23" s="64" t="s">
        <v>11</v>
      </c>
      <c r="F23" s="64"/>
      <c r="G23" s="69"/>
      <c r="H23" s="4"/>
      <c r="I23" s="65"/>
      <c r="J23" s="65">
        <v>1</v>
      </c>
      <c r="K23" s="20">
        <f t="shared" si="2"/>
        <v>0</v>
      </c>
    </row>
    <row r="24" spans="1:11" ht="17.25" customHeight="1" outlineLevel="1">
      <c r="A24" s="119"/>
      <c r="B24" s="63"/>
      <c r="C24" s="66"/>
      <c r="D24" s="64"/>
      <c r="E24" s="64" t="s">
        <v>11</v>
      </c>
      <c r="F24" s="64"/>
      <c r="G24" s="69"/>
      <c r="H24" s="4"/>
      <c r="I24" s="65"/>
      <c r="J24" s="65">
        <v>1</v>
      </c>
      <c r="K24" s="20">
        <f t="shared" si="2"/>
        <v>0</v>
      </c>
    </row>
    <row r="25" spans="1:11" ht="17.25" customHeight="1" outlineLevel="1">
      <c r="A25" s="119"/>
      <c r="B25" s="63"/>
      <c r="C25" s="66"/>
      <c r="D25" s="64"/>
      <c r="E25" s="64" t="s">
        <v>11</v>
      </c>
      <c r="F25" s="64"/>
      <c r="G25" s="69"/>
      <c r="H25" s="4"/>
      <c r="I25" s="65"/>
      <c r="J25" s="65">
        <v>1</v>
      </c>
      <c r="K25" s="20">
        <f t="shared" ref="K25:K32" si="3">(G25+H25)*I25*J25</f>
        <v>0</v>
      </c>
    </row>
    <row r="26" spans="1:11" ht="17.25" customHeight="1" outlineLevel="1">
      <c r="A26" s="119"/>
      <c r="B26" s="63"/>
      <c r="C26" s="66"/>
      <c r="D26" s="64"/>
      <c r="E26" s="64" t="s">
        <v>11</v>
      </c>
      <c r="F26" s="64"/>
      <c r="G26" s="69"/>
      <c r="H26" s="4"/>
      <c r="I26" s="65"/>
      <c r="J26" s="65">
        <v>1</v>
      </c>
      <c r="K26" s="20">
        <f t="shared" si="3"/>
        <v>0</v>
      </c>
    </row>
    <row r="27" spans="1:11" ht="17.25" customHeight="1" outlineLevel="1">
      <c r="A27" s="119"/>
      <c r="B27" s="63"/>
      <c r="C27" s="66"/>
      <c r="D27" s="64"/>
      <c r="E27" s="64" t="s">
        <v>11</v>
      </c>
      <c r="F27" s="64"/>
      <c r="G27" s="69"/>
      <c r="H27" s="4"/>
      <c r="I27" s="65"/>
      <c r="J27" s="65">
        <v>1</v>
      </c>
      <c r="K27" s="20">
        <f t="shared" si="3"/>
        <v>0</v>
      </c>
    </row>
    <row r="28" spans="1:11" ht="17.25" customHeight="1" outlineLevel="1">
      <c r="A28" s="119"/>
      <c r="B28" s="63"/>
      <c r="C28" s="66"/>
      <c r="D28" s="64"/>
      <c r="E28" s="64" t="s">
        <v>11</v>
      </c>
      <c r="F28" s="64"/>
      <c r="G28" s="69"/>
      <c r="H28" s="4"/>
      <c r="I28" s="65"/>
      <c r="J28" s="65">
        <v>1</v>
      </c>
      <c r="K28" s="20">
        <f t="shared" si="3"/>
        <v>0</v>
      </c>
    </row>
    <row r="29" spans="1:11" ht="17.25" customHeight="1" outlineLevel="1">
      <c r="A29" s="119"/>
      <c r="B29" s="63"/>
      <c r="C29" s="66"/>
      <c r="D29" s="64"/>
      <c r="E29" s="64" t="s">
        <v>11</v>
      </c>
      <c r="F29" s="64"/>
      <c r="G29" s="69"/>
      <c r="H29" s="4"/>
      <c r="I29" s="65"/>
      <c r="J29" s="65">
        <v>1</v>
      </c>
      <c r="K29" s="20">
        <f t="shared" si="3"/>
        <v>0</v>
      </c>
    </row>
    <row r="30" spans="1:11" ht="17.25" customHeight="1" outlineLevel="1">
      <c r="A30" s="119"/>
      <c r="B30" s="63"/>
      <c r="C30" s="66"/>
      <c r="D30" s="64"/>
      <c r="E30" s="64" t="s">
        <v>11</v>
      </c>
      <c r="F30" s="64"/>
      <c r="G30" s="69"/>
      <c r="H30" s="4"/>
      <c r="I30" s="65"/>
      <c r="J30" s="65">
        <v>1</v>
      </c>
      <c r="K30" s="20">
        <f t="shared" si="3"/>
        <v>0</v>
      </c>
    </row>
    <row r="31" spans="1:11" ht="17.25" customHeight="1" outlineLevel="1">
      <c r="A31" s="119"/>
      <c r="B31" s="63"/>
      <c r="C31" s="66"/>
      <c r="D31" s="64"/>
      <c r="E31" s="64" t="s">
        <v>11</v>
      </c>
      <c r="F31" s="64"/>
      <c r="G31" s="69"/>
      <c r="H31" s="4"/>
      <c r="I31" s="65"/>
      <c r="J31" s="65">
        <v>1</v>
      </c>
      <c r="K31" s="20">
        <f t="shared" si="3"/>
        <v>0</v>
      </c>
    </row>
    <row r="32" spans="1:11" ht="17.25" customHeight="1" outlineLevel="1">
      <c r="A32" s="119"/>
      <c r="B32" s="63"/>
      <c r="C32" s="66"/>
      <c r="D32" s="64"/>
      <c r="E32" s="64" t="s">
        <v>11</v>
      </c>
      <c r="F32" s="64"/>
      <c r="G32" s="69"/>
      <c r="H32" s="4"/>
      <c r="I32" s="65"/>
      <c r="J32" s="65">
        <v>1</v>
      </c>
      <c r="K32" s="20">
        <f t="shared" si="3"/>
        <v>0</v>
      </c>
    </row>
    <row r="33" spans="1:11" ht="17.25" customHeight="1" outlineLevel="1">
      <c r="A33" s="119"/>
      <c r="B33" s="126" t="s">
        <v>24</v>
      </c>
      <c r="C33" s="127"/>
      <c r="D33" s="127"/>
      <c r="E33" s="127"/>
      <c r="F33" s="127"/>
      <c r="G33" s="127"/>
      <c r="H33" s="127"/>
      <c r="I33" s="128" t="s">
        <v>25</v>
      </c>
      <c r="J33" s="67"/>
      <c r="K33" s="4"/>
    </row>
    <row r="34" spans="1:11" ht="21" outlineLevel="1">
      <c r="A34" s="120"/>
      <c r="B34" s="139" t="str">
        <f>"金额总计(Amount)："&amp;K14</f>
        <v>金额总计(Amount)：CNY</v>
      </c>
      <c r="C34" s="140"/>
      <c r="D34" s="140"/>
      <c r="E34" s="140"/>
      <c r="F34" s="140"/>
      <c r="G34" s="140"/>
      <c r="H34" s="141"/>
      <c r="I34" s="142">
        <f>SUM(K15:K33)</f>
        <v>0</v>
      </c>
      <c r="J34" s="143"/>
      <c r="K34" s="144"/>
    </row>
    <row r="35" spans="1:11" ht="57.75" customHeight="1">
      <c r="A35" s="9" t="str">
        <f>IF(A1="外包服务进度确认书","里程碑确认：Milestone Confirmation","作业审定：
Acceptance result:")</f>
        <v>作业审定：
Acceptance result:</v>
      </c>
      <c r="B35" s="6" t="s">
        <v>26</v>
      </c>
      <c r="C35" s="99"/>
      <c r="D35" s="100"/>
      <c r="E35" s="101"/>
      <c r="F35" s="6" t="s">
        <v>27</v>
      </c>
      <c r="G35" s="99" t="s">
        <v>28</v>
      </c>
      <c r="H35" s="101"/>
      <c r="I35" s="129"/>
      <c r="J35" s="130"/>
      <c r="K35" s="131"/>
    </row>
    <row r="36" spans="1:11" ht="107.25" customHeight="1">
      <c r="A36" s="9" t="s">
        <v>29</v>
      </c>
      <c r="B36" s="121"/>
      <c r="C36" s="122"/>
      <c r="D36" s="122"/>
      <c r="E36" s="122"/>
      <c r="F36" s="122"/>
      <c r="G36" s="122"/>
      <c r="H36" s="122"/>
      <c r="I36" s="122"/>
      <c r="J36" s="122"/>
      <c r="K36" s="123"/>
    </row>
    <row r="37" spans="1:11" ht="18">
      <c r="A37" s="8"/>
      <c r="B37" s="1"/>
      <c r="C37" s="1"/>
      <c r="D37" s="1"/>
      <c r="E37" s="1"/>
      <c r="H37" s="1"/>
    </row>
    <row r="38" spans="1:11" ht="18">
      <c r="A38" s="8"/>
      <c r="B38" s="1"/>
      <c r="C38" s="1"/>
      <c r="D38" s="1"/>
      <c r="E38" s="1"/>
      <c r="H38" s="117" t="str">
        <f>IF(A1="外包服务验收书","验收人/验收时间：","确认人/确认时间：")</f>
        <v>验收人/验收时间：</v>
      </c>
      <c r="I38" s="117"/>
      <c r="J38" s="62"/>
      <c r="K38" s="1"/>
    </row>
    <row r="39" spans="1:11">
      <c r="H39" s="40" t="str">
        <f>IF(A1="外包服务验收书","Acceptor&amp;Date:","Approver&amp;Date:")</f>
        <v>Acceptor&amp;Date:</v>
      </c>
      <c r="I39" s="40"/>
      <c r="J39" s="40"/>
    </row>
    <row r="40" spans="1:11">
      <c r="A40" s="10" t="s">
        <v>30</v>
      </c>
    </row>
    <row r="41" spans="1:11">
      <c r="A41" s="10" t="s">
        <v>31</v>
      </c>
    </row>
    <row r="42" spans="1:11">
      <c r="A42" s="10" t="s">
        <v>32</v>
      </c>
    </row>
    <row r="43" spans="1:11">
      <c r="A43" s="10" t="s">
        <v>33</v>
      </c>
    </row>
  </sheetData>
  <sheetProtection sort="0" autoFilter="0"/>
  <mergeCells count="34">
    <mergeCell ref="H38:I38"/>
    <mergeCell ref="A12:A34"/>
    <mergeCell ref="B36:K36"/>
    <mergeCell ref="G12:H12"/>
    <mergeCell ref="K12:K13"/>
    <mergeCell ref="B33:I33"/>
    <mergeCell ref="I35:K35"/>
    <mergeCell ref="G35:H35"/>
    <mergeCell ref="B12:B14"/>
    <mergeCell ref="D12:D14"/>
    <mergeCell ref="E12:E14"/>
    <mergeCell ref="C12:C14"/>
    <mergeCell ref="F12:F14"/>
    <mergeCell ref="I12:I14"/>
    <mergeCell ref="B34:H34"/>
    <mergeCell ref="I34:K34"/>
    <mergeCell ref="H13:H14"/>
    <mergeCell ref="C35:E35"/>
    <mergeCell ref="B8:K8"/>
    <mergeCell ref="G13:G14"/>
    <mergeCell ref="B10:K10"/>
    <mergeCell ref="J12:J13"/>
    <mergeCell ref="B5:K5"/>
    <mergeCell ref="E11:K11"/>
    <mergeCell ref="A1:K1"/>
    <mergeCell ref="A3:H3"/>
    <mergeCell ref="A2:K2"/>
    <mergeCell ref="H4:I4"/>
    <mergeCell ref="B9:C9"/>
    <mergeCell ref="E9:F9"/>
    <mergeCell ref="G9:K9"/>
    <mergeCell ref="B6:K6"/>
    <mergeCell ref="B7:K7"/>
    <mergeCell ref="J4:K4"/>
  </mergeCells>
  <phoneticPr fontId="3" type="noConversion"/>
  <conditionalFormatting sqref="B12:K32">
    <cfRule type="expression" dxfId="1" priority="1">
      <formula>$B$7="FIXED PRICE（固定费用）"</formula>
    </cfRule>
  </conditionalFormatting>
  <dataValidations count="10">
    <dataValidation type="list" allowBlank="1" showInputMessage="1" showErrorMessage="1" sqref="C35 G35" xr:uid="{00000000-0002-0000-0000-000000000000}">
      <formula1>"√"</formula1>
    </dataValidation>
    <dataValidation type="list" allowBlank="1" showInputMessage="1" showErrorMessage="1" sqref="K14" xr:uid="{00000000-0002-0000-0000-000001000000}">
      <formula1>"CNY,USD,JPY,EURO"</formula1>
    </dataValidation>
    <dataValidation type="list" allowBlank="1" showInputMessage="1" showErrorMessage="1" sqref="B7:K7" xr:uid="{00000000-0002-0000-0000-000002000000}">
      <formula1>"FIXED PRICE（固定费用）,T&amp;M（工时与材料）"</formula1>
    </dataValidation>
    <dataValidation type="list" allowBlank="1" showInputMessage="1" showErrorMessage="1" sqref="D9" xr:uid="{00000000-0002-0000-0000-000003000000}">
      <formula1>"有 Yes,无 No"</formula1>
    </dataValidation>
    <dataValidation type="list" allowBlank="1" showInputMessage="1" showErrorMessage="1" sqref="A1:K1" xr:uid="{00000000-0002-0000-0000-000004000000}">
      <formula1>"外包服务进度确认书,外包服务验收书"</formula1>
    </dataValidation>
    <dataValidation allowBlank="1" showInputMessage="1" showErrorMessage="1" prompt="作业内容必须与合同约定的一致。" sqref="B8:K8" xr:uid="{00000000-0002-0000-0000-000005000000}"/>
    <dataValidation allowBlank="1" showInputMessage="1" showErrorMessage="1" prompt="里程碑信息（Phase 1 / 2 / 3……），里程碑描述必须与合同一致；_x000a_如只是阶段进度报告，请修改标题为“外包服务进度确认书”。" sqref="B10:K10" xr:uid="{00000000-0002-0000-0000-000006000000}"/>
    <dataValidation allowBlank="1" showInputMessage="1" showErrorMessage="1" prompt="固定金额（Fixed Price）无需填写此内容。只需要填写最终金额。" sqref="B15:B32 D15:I32 K15:K32" xr:uid="{00000000-0002-0000-0000-000007000000}"/>
    <dataValidation type="list" allowBlank="1" showInputMessage="1" showErrorMessage="1" sqref="G12:H12" xr:uid="{C3F39A41-9267-44E2-8AD9-A0B9AA6726EA}">
      <formula1>"工数（天） Man day,工数（月） Man month"</formula1>
    </dataValidation>
    <dataValidation type="decimal" allowBlank="1" showInputMessage="1" showErrorMessage="1" promptTitle="质量系数" prompt="质量系数，用于判断该作业工时与成果物的质量。决定最终结算金额：结算金额=标准金额*质量系数（0-1）" sqref="J15:J32" xr:uid="{58DC4F81-8DF5-46FA-9B81-88869BB75FF9}">
      <formula1>0</formula1>
      <formula2>1</formula2>
    </dataValidation>
  </dataValidations>
  <printOptions horizontalCentered="1"/>
  <pageMargins left="0.43307086614173229" right="0.43307086614173229" top="0.74803149606299213" bottom="0.74803149606299213" header="0.31496062992125984" footer="0.31496062992125984"/>
  <pageSetup paperSize="9" scale="68" orientation="portrait" horizontalDpi="4294967293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请确保人员等级与合同约定的一致。避免因不一致被驳回产生额外的工时。" xr:uid="{21B415E9-9EFC-483E-ADCA-4B02A6EEAD48}">
          <x14:formula1>
            <xm:f>Data!$A$1:$A$7</xm:f>
          </x14:formula1>
          <xm:sqref>C15:C32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K38"/>
  <sheetViews>
    <sheetView workbookViewId="0">
      <selection activeCell="K13" sqref="K13"/>
    </sheetView>
  </sheetViews>
  <sheetFormatPr defaultColWidth="9.25" defaultRowHeight="16.5"/>
  <cols>
    <col min="1" max="2" width="9.25" style="2"/>
    <col min="3" max="3" width="27.5" style="2" customWidth="1"/>
    <col min="4" max="4" width="19.875" style="2" customWidth="1"/>
    <col min="5" max="6" width="15.625" style="13" customWidth="1"/>
    <col min="7" max="8" width="14.25" style="13" customWidth="1"/>
    <col min="9" max="9" width="16.5" style="14" customWidth="1"/>
    <col min="10" max="10" width="17.125" style="2" customWidth="1"/>
    <col min="11" max="16384" width="9.25" style="2"/>
  </cols>
  <sheetData>
    <row r="1" spans="1:11" ht="29.25">
      <c r="A1" s="93" t="s">
        <v>34</v>
      </c>
      <c r="B1" s="93"/>
      <c r="C1" s="93"/>
      <c r="D1" s="93"/>
      <c r="E1" s="93"/>
      <c r="F1" s="93"/>
      <c r="G1" s="93"/>
      <c r="H1" s="93"/>
      <c r="I1" s="93"/>
    </row>
    <row r="2" spans="1:11" ht="18">
      <c r="A2" s="94" t="s">
        <v>35</v>
      </c>
      <c r="B2" s="94"/>
      <c r="C2" s="94"/>
      <c r="D2" s="94"/>
      <c r="E2" s="94"/>
      <c r="F2" s="94"/>
      <c r="G2" s="94"/>
      <c r="H2" s="94"/>
      <c r="I2" s="94"/>
    </row>
    <row r="3" spans="1:11" s="15" customFormat="1" ht="35.25" customHeight="1">
      <c r="A3" s="82" t="s">
        <v>36</v>
      </c>
      <c r="B3" s="83"/>
      <c r="C3" s="81"/>
      <c r="D3" s="81"/>
      <c r="E3" s="81"/>
      <c r="F3" s="80" t="s">
        <v>37</v>
      </c>
      <c r="G3" s="97"/>
      <c r="H3" s="95"/>
      <c r="I3" s="96"/>
    </row>
    <row r="4" spans="1:11" s="15" customFormat="1" ht="35.25" customHeight="1">
      <c r="A4" s="80" t="s">
        <v>38</v>
      </c>
      <c r="B4" s="81"/>
      <c r="C4" s="52"/>
      <c r="D4" s="57" t="s">
        <v>39</v>
      </c>
      <c r="E4" s="58" t="s">
        <v>73</v>
      </c>
      <c r="F4" s="55" t="str">
        <f>IF(E4="","",VLOOKUP(E4,Data!A1:B8,2,FALSE))</f>
        <v>资深：n&gt;5Years</v>
      </c>
      <c r="G4" s="84" t="s">
        <v>40</v>
      </c>
      <c r="H4" s="84"/>
      <c r="I4" s="60"/>
    </row>
    <row r="5" spans="1:11">
      <c r="A5" s="85" t="s">
        <v>41</v>
      </c>
      <c r="B5" s="86"/>
      <c r="C5" s="86"/>
      <c r="D5" s="89"/>
      <c r="E5" s="90"/>
      <c r="F5" s="12" t="s">
        <v>42</v>
      </c>
      <c r="G5" s="56">
        <f>SUM(I8:I37)+SUM(G8:G37)</f>
        <v>0</v>
      </c>
      <c r="H5" s="51" t="s">
        <v>43</v>
      </c>
      <c r="I5" s="42">
        <f>ROUNDDOWN(G5/G6,2)</f>
        <v>0</v>
      </c>
    </row>
    <row r="6" spans="1:11">
      <c r="A6" s="87"/>
      <c r="B6" s="88"/>
      <c r="C6" s="88"/>
      <c r="D6" s="91"/>
      <c r="E6" s="92"/>
      <c r="F6" s="12" t="s">
        <v>44</v>
      </c>
      <c r="G6" s="56">
        <f>21*8</f>
        <v>168</v>
      </c>
      <c r="H6" s="51"/>
      <c r="I6" s="42"/>
    </row>
    <row r="7" spans="1:11" s="18" customFormat="1" ht="33">
      <c r="A7" s="16" t="s">
        <v>45</v>
      </c>
      <c r="B7" s="16" t="s">
        <v>46</v>
      </c>
      <c r="C7" s="78" t="s">
        <v>47</v>
      </c>
      <c r="D7" s="79"/>
      <c r="E7" s="17" t="s">
        <v>48</v>
      </c>
      <c r="F7" s="17" t="s">
        <v>49</v>
      </c>
      <c r="G7" s="17" t="s">
        <v>50</v>
      </c>
      <c r="H7" s="17" t="s">
        <v>51</v>
      </c>
      <c r="I7" s="19" t="s">
        <v>52</v>
      </c>
    </row>
    <row r="8" spans="1:11" ht="27" customHeight="1">
      <c r="A8" s="30">
        <f>MONTH(D5)</f>
        <v>1</v>
      </c>
      <c r="B8" s="31">
        <f>($D$5)</f>
        <v>0</v>
      </c>
      <c r="C8" s="74"/>
      <c r="D8" s="75"/>
      <c r="E8" s="59"/>
      <c r="F8" s="59"/>
      <c r="G8" s="33"/>
      <c r="H8" s="33"/>
      <c r="I8" s="34"/>
      <c r="K8" s="39"/>
    </row>
    <row r="9" spans="1:11" ht="27" customHeight="1">
      <c r="A9" s="38"/>
      <c r="B9" s="31">
        <f>B8+1</f>
        <v>1</v>
      </c>
      <c r="C9" s="74"/>
      <c r="D9" s="75"/>
      <c r="E9" s="32"/>
      <c r="F9" s="32"/>
      <c r="G9" s="33"/>
      <c r="H9" s="33"/>
      <c r="I9" s="34"/>
    </row>
    <row r="10" spans="1:11" ht="27" customHeight="1">
      <c r="A10" s="38"/>
      <c r="B10" s="31">
        <f t="shared" ref="B10:B37" si="0">B9+1</f>
        <v>2</v>
      </c>
      <c r="C10" s="74"/>
      <c r="D10" s="75"/>
      <c r="E10" s="32"/>
      <c r="F10" s="32"/>
      <c r="G10" s="33"/>
      <c r="H10" s="33"/>
      <c r="I10" s="34"/>
    </row>
    <row r="11" spans="1:11" ht="27" customHeight="1">
      <c r="A11" s="38"/>
      <c r="B11" s="31">
        <f t="shared" si="0"/>
        <v>3</v>
      </c>
      <c r="C11" s="74"/>
      <c r="D11" s="75"/>
      <c r="E11" s="32"/>
      <c r="F11" s="32"/>
      <c r="G11" s="33"/>
      <c r="H11" s="33"/>
      <c r="I11" s="34"/>
    </row>
    <row r="12" spans="1:11" ht="27" customHeight="1">
      <c r="A12" s="38"/>
      <c r="B12" s="31">
        <f t="shared" si="0"/>
        <v>4</v>
      </c>
      <c r="C12" s="74"/>
      <c r="D12" s="75"/>
      <c r="E12" s="33"/>
      <c r="F12" s="33"/>
      <c r="G12" s="33"/>
      <c r="H12" s="33"/>
      <c r="I12" s="34"/>
    </row>
    <row r="13" spans="1:11" ht="27" customHeight="1">
      <c r="A13" s="38"/>
      <c r="B13" s="73">
        <f t="shared" si="0"/>
        <v>5</v>
      </c>
      <c r="C13" s="76"/>
      <c r="D13" s="77"/>
      <c r="E13" s="71"/>
      <c r="F13" s="71"/>
      <c r="G13" s="71"/>
      <c r="H13" s="71"/>
      <c r="I13" s="72"/>
    </row>
    <row r="14" spans="1:11" ht="27" customHeight="1">
      <c r="A14" s="38"/>
      <c r="B14" s="31">
        <f t="shared" si="0"/>
        <v>6</v>
      </c>
      <c r="C14" s="74"/>
      <c r="D14" s="75"/>
      <c r="E14" s="32"/>
      <c r="F14" s="32"/>
      <c r="G14" s="33"/>
      <c r="H14" s="33"/>
      <c r="I14" s="34"/>
    </row>
    <row r="15" spans="1:11" ht="27" customHeight="1">
      <c r="A15" s="38"/>
      <c r="B15" s="31">
        <f t="shared" si="0"/>
        <v>7</v>
      </c>
      <c r="C15" s="74"/>
      <c r="D15" s="75"/>
      <c r="E15" s="32"/>
      <c r="F15" s="32"/>
      <c r="G15" s="33"/>
      <c r="H15" s="33"/>
      <c r="I15" s="34"/>
    </row>
    <row r="16" spans="1:11" ht="27" customHeight="1">
      <c r="A16" s="38"/>
      <c r="B16" s="31">
        <f t="shared" si="0"/>
        <v>8</v>
      </c>
      <c r="C16" s="74"/>
      <c r="D16" s="75"/>
      <c r="E16" s="32"/>
      <c r="F16" s="32"/>
      <c r="G16" s="33"/>
      <c r="H16" s="33"/>
      <c r="I16" s="34"/>
    </row>
    <row r="17" spans="1:9" ht="27" customHeight="1">
      <c r="A17" s="38"/>
      <c r="B17" s="31">
        <f t="shared" si="0"/>
        <v>9</v>
      </c>
      <c r="C17" s="74"/>
      <c r="D17" s="75"/>
      <c r="E17" s="32"/>
      <c r="F17" s="32"/>
      <c r="G17" s="33"/>
      <c r="H17" s="33"/>
      <c r="I17" s="34"/>
    </row>
    <row r="18" spans="1:9" ht="27" customHeight="1">
      <c r="A18" s="38"/>
      <c r="B18" s="31">
        <f t="shared" si="0"/>
        <v>10</v>
      </c>
      <c r="C18" s="74"/>
      <c r="D18" s="75"/>
      <c r="E18" s="32"/>
      <c r="F18" s="32"/>
      <c r="G18" s="33"/>
      <c r="H18" s="33"/>
      <c r="I18" s="34"/>
    </row>
    <row r="19" spans="1:9" ht="27" customHeight="1">
      <c r="A19" s="38"/>
      <c r="B19" s="31">
        <f t="shared" si="0"/>
        <v>11</v>
      </c>
      <c r="C19" s="74"/>
      <c r="D19" s="75"/>
      <c r="E19" s="33"/>
      <c r="F19" s="33"/>
      <c r="G19" s="33"/>
      <c r="H19" s="33"/>
      <c r="I19" s="34"/>
    </row>
    <row r="20" spans="1:9" ht="27" customHeight="1">
      <c r="A20" s="38"/>
      <c r="B20" s="31">
        <f t="shared" si="0"/>
        <v>12</v>
      </c>
      <c r="C20" s="74"/>
      <c r="D20" s="75"/>
      <c r="E20" s="32"/>
      <c r="F20" s="32"/>
      <c r="G20" s="33"/>
      <c r="H20" s="33"/>
      <c r="I20" s="34"/>
    </row>
    <row r="21" spans="1:9" ht="27" customHeight="1">
      <c r="A21" s="38"/>
      <c r="B21" s="31">
        <f t="shared" si="0"/>
        <v>13</v>
      </c>
      <c r="C21" s="74"/>
      <c r="D21" s="75"/>
      <c r="E21" s="32"/>
      <c r="F21" s="32"/>
      <c r="G21" s="33"/>
      <c r="H21" s="33"/>
      <c r="I21" s="34"/>
    </row>
    <row r="22" spans="1:9" ht="27" customHeight="1">
      <c r="A22" s="38"/>
      <c r="B22" s="31">
        <f t="shared" si="0"/>
        <v>14</v>
      </c>
      <c r="C22" s="74"/>
      <c r="D22" s="75"/>
      <c r="E22" s="32"/>
      <c r="F22" s="32"/>
      <c r="G22" s="33"/>
      <c r="H22" s="33"/>
      <c r="I22" s="34"/>
    </row>
    <row r="23" spans="1:9" ht="27" customHeight="1">
      <c r="A23" s="38"/>
      <c r="B23" s="31">
        <f t="shared" si="0"/>
        <v>15</v>
      </c>
      <c r="C23" s="74"/>
      <c r="D23" s="75"/>
      <c r="E23" s="32"/>
      <c r="F23" s="32"/>
      <c r="G23" s="33"/>
      <c r="H23" s="33"/>
      <c r="I23" s="34"/>
    </row>
    <row r="24" spans="1:9" ht="27" customHeight="1">
      <c r="A24" s="38"/>
      <c r="B24" s="31">
        <f t="shared" si="0"/>
        <v>16</v>
      </c>
      <c r="C24" s="74"/>
      <c r="D24" s="75"/>
      <c r="E24" s="32"/>
      <c r="F24" s="32"/>
      <c r="G24" s="33"/>
      <c r="H24" s="33"/>
      <c r="I24" s="34"/>
    </row>
    <row r="25" spans="1:9" ht="27" customHeight="1">
      <c r="A25" s="38"/>
      <c r="B25" s="31">
        <f t="shared" si="0"/>
        <v>17</v>
      </c>
      <c r="C25" s="74"/>
      <c r="D25" s="75"/>
      <c r="E25" s="32"/>
      <c r="F25" s="32"/>
      <c r="G25" s="33"/>
      <c r="H25" s="33"/>
      <c r="I25" s="34"/>
    </row>
    <row r="26" spans="1:9" ht="27" customHeight="1">
      <c r="A26" s="38"/>
      <c r="B26" s="31">
        <f t="shared" si="0"/>
        <v>18</v>
      </c>
      <c r="C26" s="74"/>
      <c r="D26" s="75"/>
      <c r="E26" s="33"/>
      <c r="F26" s="33"/>
      <c r="G26" s="33"/>
      <c r="H26" s="33"/>
      <c r="I26" s="34"/>
    </row>
    <row r="27" spans="1:9" ht="27" customHeight="1">
      <c r="A27" s="38"/>
      <c r="B27" s="31">
        <f t="shared" si="0"/>
        <v>19</v>
      </c>
      <c r="C27" s="74"/>
      <c r="D27" s="75"/>
      <c r="E27" s="32"/>
      <c r="F27" s="32"/>
      <c r="G27" s="33"/>
      <c r="H27" s="33"/>
      <c r="I27" s="34"/>
    </row>
    <row r="28" spans="1:9" ht="27" customHeight="1">
      <c r="A28" s="38"/>
      <c r="B28" s="31">
        <f t="shared" si="0"/>
        <v>20</v>
      </c>
      <c r="C28" s="74"/>
      <c r="D28" s="75"/>
      <c r="E28" s="32"/>
      <c r="F28" s="32"/>
      <c r="G28" s="33"/>
      <c r="H28" s="33"/>
      <c r="I28" s="34"/>
    </row>
    <row r="29" spans="1:9" ht="27" customHeight="1">
      <c r="A29" s="38"/>
      <c r="B29" s="31">
        <f t="shared" si="0"/>
        <v>21</v>
      </c>
      <c r="C29" s="74"/>
      <c r="D29" s="75"/>
      <c r="E29" s="32"/>
      <c r="F29" s="32"/>
      <c r="G29" s="33"/>
      <c r="H29" s="33"/>
      <c r="I29" s="34"/>
    </row>
    <row r="30" spans="1:9" ht="27" customHeight="1">
      <c r="A30" s="38"/>
      <c r="B30" s="31">
        <f t="shared" si="0"/>
        <v>22</v>
      </c>
      <c r="C30" s="74"/>
      <c r="D30" s="75"/>
      <c r="E30" s="32"/>
      <c r="F30" s="32"/>
      <c r="G30" s="33"/>
      <c r="H30" s="33"/>
      <c r="I30" s="34"/>
    </row>
    <row r="31" spans="1:9" ht="27" customHeight="1">
      <c r="A31" s="38"/>
      <c r="B31" s="31">
        <f t="shared" si="0"/>
        <v>23</v>
      </c>
      <c r="C31" s="74"/>
      <c r="D31" s="75"/>
      <c r="E31" s="32"/>
      <c r="F31" s="32"/>
      <c r="G31" s="33"/>
      <c r="H31" s="33"/>
      <c r="I31" s="34"/>
    </row>
    <row r="32" spans="1:9" ht="27" customHeight="1">
      <c r="A32" s="38"/>
      <c r="B32" s="31">
        <f t="shared" si="0"/>
        <v>24</v>
      </c>
      <c r="C32" s="74"/>
      <c r="D32" s="75"/>
      <c r="E32" s="32"/>
      <c r="F32" s="32"/>
      <c r="G32" s="33"/>
      <c r="H32" s="33"/>
      <c r="I32" s="34"/>
    </row>
    <row r="33" spans="1:9" ht="27" customHeight="1">
      <c r="A33" s="38"/>
      <c r="B33" s="31">
        <f t="shared" si="0"/>
        <v>25</v>
      </c>
      <c r="C33" s="74"/>
      <c r="D33" s="75"/>
      <c r="E33" s="33"/>
      <c r="F33" s="33"/>
      <c r="G33" s="33"/>
      <c r="H33" s="33"/>
      <c r="I33" s="34"/>
    </row>
    <row r="34" spans="1:9" ht="27" customHeight="1">
      <c r="A34" s="38"/>
      <c r="B34" s="31">
        <f t="shared" si="0"/>
        <v>26</v>
      </c>
      <c r="C34" s="74"/>
      <c r="D34" s="75"/>
      <c r="E34" s="32"/>
      <c r="F34" s="32"/>
      <c r="G34" s="33"/>
      <c r="H34" s="33"/>
      <c r="I34" s="34"/>
    </row>
    <row r="35" spans="1:9" ht="27" customHeight="1">
      <c r="A35" s="38"/>
      <c r="B35" s="31">
        <f t="shared" si="0"/>
        <v>27</v>
      </c>
      <c r="C35" s="74"/>
      <c r="D35" s="75"/>
      <c r="E35" s="32"/>
      <c r="F35" s="32"/>
      <c r="G35" s="33"/>
      <c r="H35" s="33"/>
      <c r="I35" s="34"/>
    </row>
    <row r="36" spans="1:9" ht="27" customHeight="1">
      <c r="A36" s="38"/>
      <c r="B36" s="31">
        <f t="shared" si="0"/>
        <v>28</v>
      </c>
      <c r="C36" s="74"/>
      <c r="D36" s="75"/>
      <c r="E36" s="32"/>
      <c r="F36" s="32"/>
      <c r="G36" s="33"/>
      <c r="H36" s="33"/>
      <c r="I36" s="34"/>
    </row>
    <row r="37" spans="1:9" ht="27" customHeight="1">
      <c r="A37" s="38"/>
      <c r="B37" s="31">
        <f t="shared" si="0"/>
        <v>29</v>
      </c>
      <c r="C37" s="74"/>
      <c r="D37" s="75"/>
      <c r="E37" s="32"/>
      <c r="F37" s="32"/>
      <c r="G37" s="33"/>
      <c r="H37" s="33"/>
      <c r="I37" s="34"/>
    </row>
    <row r="38" spans="1:9">
      <c r="A38" s="35"/>
      <c r="B38" s="10" t="s">
        <v>53</v>
      </c>
      <c r="C38" s="35"/>
      <c r="D38" s="35"/>
      <c r="E38" s="36"/>
      <c r="F38" s="36"/>
      <c r="G38" s="36"/>
      <c r="H38" s="36"/>
      <c r="I38" s="37"/>
    </row>
  </sheetData>
  <dataConsolidate/>
  <mergeCells count="41">
    <mergeCell ref="A1:I1"/>
    <mergeCell ref="A2:I2"/>
    <mergeCell ref="C3:E3"/>
    <mergeCell ref="H3:I3"/>
    <mergeCell ref="F3:G3"/>
    <mergeCell ref="A4:B4"/>
    <mergeCell ref="A3:B3"/>
    <mergeCell ref="G4:H4"/>
    <mergeCell ref="A5:C6"/>
    <mergeCell ref="D5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7:D37"/>
    <mergeCell ref="C32:D32"/>
    <mergeCell ref="C33:D33"/>
    <mergeCell ref="C34:D34"/>
    <mergeCell ref="C35:D35"/>
    <mergeCell ref="C36:D36"/>
  </mergeCells>
  <phoneticPr fontId="3" type="noConversion"/>
  <conditionalFormatting sqref="B8:C37 E8:I37">
    <cfRule type="expression" dxfId="0" priority="1">
      <formula>WEEKDAY($B8,2)&gt;5</formula>
    </cfRule>
  </conditionalFormatting>
  <dataValidations count="3">
    <dataValidation allowBlank="1" showInputMessage="1" showErrorMessage="1" prompt="请填写采购订单号，如“45000XXXXX”_x000a_" sqref="H3:I3" xr:uid="{00000000-0002-0000-0100-000000000000}"/>
    <dataValidation type="list" allowBlank="1" showInputMessage="1" showErrorMessage="1" prompt="请确保人员等级与合同约定的一致。避免因不一致被驳回产生额外的工时。" sqref="E4" xr:uid="{7358F889-26A1-446B-A598-2769B9B5410A}">
      <formula1>"Chief,Architect/Designer,PM,Senior 2,Senior 1,Junior,Beginner"</formula1>
    </dataValidation>
    <dataValidation allowBlank="1" showInputMessage="1" showErrorMessage="1" promptTitle="风险提示：请确保“合同范围”与“实际执行”的一致性" prompt="请在项目执行过程中密切监控作业内容，确保其与合同定义的SOW完全匹配。请特别注意避免工作性质错位（例如：合同立项为“开发类”，实际工单却填报为“调研类”）。" sqref="C8:C37" xr:uid="{FD5AEE7C-32BE-49CE-A62C-8C121DD4AC8B}"/>
  </dataValidations>
  <pageMargins left="0.7" right="0.7" top="0.75" bottom="0.75" header="0.3" footer="0.3"/>
  <pageSetup paperSize="9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D19"/>
  <sheetViews>
    <sheetView topLeftCell="A2" workbookViewId="0">
      <selection activeCell="B6" sqref="B6:D6"/>
    </sheetView>
  </sheetViews>
  <sheetFormatPr defaultColWidth="9.25" defaultRowHeight="16.5"/>
  <cols>
    <col min="1" max="1" width="12" style="21" customWidth="1"/>
    <col min="2" max="2" width="81.625" style="26" customWidth="1"/>
    <col min="3" max="3" width="11.375" style="27" customWidth="1"/>
    <col min="4" max="4" width="11.375" style="28" customWidth="1"/>
    <col min="5" max="16384" width="9.25" style="21"/>
  </cols>
  <sheetData>
    <row r="1" spans="1:4" ht="29.25">
      <c r="A1" s="146" t="s">
        <v>54</v>
      </c>
      <c r="B1" s="146"/>
      <c r="C1" s="146"/>
      <c r="D1" s="146"/>
    </row>
    <row r="2" spans="1:4" ht="24.75">
      <c r="A2" s="148" t="str">
        <f>IF($A$1="采购交付单","Delivery Note","Acceptance Request")</f>
        <v>Delivery Note</v>
      </c>
      <c r="B2" s="148"/>
      <c r="C2" s="148"/>
      <c r="D2" s="148"/>
    </row>
    <row r="3" spans="1:4" s="1" customFormat="1" ht="18">
      <c r="A3" s="8"/>
      <c r="B3" s="47" t="s">
        <v>55</v>
      </c>
      <c r="C3" s="149"/>
      <c r="D3" s="149"/>
    </row>
    <row r="4" spans="1:4" s="1" customFormat="1" ht="9.9499999999999993" customHeight="1">
      <c r="A4" s="8"/>
      <c r="B4" s="47"/>
      <c r="C4" s="48"/>
      <c r="D4" s="48"/>
    </row>
    <row r="5" spans="1:4" s="1" customFormat="1" ht="36">
      <c r="A5" s="22" t="s">
        <v>56</v>
      </c>
      <c r="B5" s="147"/>
      <c r="C5" s="147"/>
      <c r="D5" s="147"/>
    </row>
    <row r="6" spans="1:4" s="1" customFormat="1" ht="45">
      <c r="A6" s="22" t="s">
        <v>57</v>
      </c>
      <c r="B6" s="147"/>
      <c r="C6" s="147"/>
      <c r="D6" s="147"/>
    </row>
    <row r="7" spans="1:4" s="1" customFormat="1" ht="9.9499999999999993" customHeight="1">
      <c r="A7" s="22"/>
      <c r="B7" s="46"/>
      <c r="C7" s="46"/>
      <c r="D7" s="46"/>
    </row>
    <row r="8" spans="1:4" s="24" customFormat="1" ht="36">
      <c r="A8" s="9" t="s">
        <v>58</v>
      </c>
      <c r="B8" s="9" t="s">
        <v>59</v>
      </c>
      <c r="C8" s="23" t="s">
        <v>60</v>
      </c>
      <c r="D8" s="9" t="s">
        <v>61</v>
      </c>
    </row>
    <row r="9" spans="1:4" s="49" customFormat="1" ht="72" customHeight="1">
      <c r="A9" s="25">
        <v>1</v>
      </c>
      <c r="B9" s="43"/>
      <c r="C9" s="44"/>
      <c r="D9" s="45"/>
    </row>
    <row r="10" spans="1:4" s="49" customFormat="1" ht="72" customHeight="1">
      <c r="A10" s="25">
        <v>2</v>
      </c>
      <c r="B10" s="43"/>
      <c r="C10" s="44"/>
      <c r="D10" s="45"/>
    </row>
    <row r="11" spans="1:4" s="49" customFormat="1" ht="72" customHeight="1">
      <c r="A11" s="25">
        <v>3</v>
      </c>
      <c r="B11" s="43"/>
      <c r="C11" s="44"/>
      <c r="D11" s="45"/>
    </row>
    <row r="12" spans="1:4" s="49" customFormat="1" ht="72" customHeight="1">
      <c r="A12" s="25">
        <v>4</v>
      </c>
      <c r="B12" s="43"/>
      <c r="C12" s="44"/>
      <c r="D12" s="45"/>
    </row>
    <row r="13" spans="1:4" s="49" customFormat="1" ht="72" customHeight="1">
      <c r="A13" s="25">
        <v>5</v>
      </c>
      <c r="B13" s="43"/>
      <c r="C13" s="44"/>
      <c r="D13" s="45"/>
    </row>
    <row r="14" spans="1:4" s="49" customFormat="1" ht="72" customHeight="1">
      <c r="A14" s="25">
        <v>6</v>
      </c>
      <c r="B14" s="43"/>
      <c r="C14" s="44"/>
      <c r="D14" s="45"/>
    </row>
    <row r="15" spans="1:4" s="49" customFormat="1" ht="72" customHeight="1">
      <c r="A15" s="25">
        <v>7</v>
      </c>
      <c r="B15" s="43"/>
      <c r="C15" s="44"/>
      <c r="D15" s="45"/>
    </row>
    <row r="16" spans="1:4" s="49" customFormat="1" ht="72" customHeight="1">
      <c r="A16" s="25">
        <v>8</v>
      </c>
      <c r="B16" s="43"/>
      <c r="C16" s="44"/>
      <c r="D16" s="45"/>
    </row>
    <row r="17" spans="1:4" ht="22.5">
      <c r="A17" s="29" t="str">
        <f>IF($A$1="采购交付单","*以上交付明细经清点确认，与实际相符。","*以上交付明细经清点、测试，与合同约定相符，同意验收。")</f>
        <v>*以上交付明细经清点确认，与实际相符。</v>
      </c>
    </row>
    <row r="18" spans="1:4" ht="54" customHeight="1">
      <c r="B18" s="41" t="s">
        <v>62</v>
      </c>
      <c r="C18" s="145"/>
      <c r="D18" s="145"/>
    </row>
    <row r="19" spans="1:4" ht="54" customHeight="1">
      <c r="B19" s="41" t="s">
        <v>63</v>
      </c>
      <c r="C19" s="145"/>
      <c r="D19" s="145"/>
    </row>
  </sheetData>
  <sheetProtection sheet="1" objects="1" scenarios="1"/>
  <mergeCells count="7">
    <mergeCell ref="C18:D18"/>
    <mergeCell ref="C19:D19"/>
    <mergeCell ref="A1:D1"/>
    <mergeCell ref="B6:D6"/>
    <mergeCell ref="A2:D2"/>
    <mergeCell ref="C3:D3"/>
    <mergeCell ref="B5:D5"/>
  </mergeCells>
  <phoneticPr fontId="3" type="noConversion"/>
  <dataValidations count="3">
    <dataValidation allowBlank="1" showInputMessage="1" showErrorMessage="1" prompt="必须与合同一致" sqref="B9:C16" xr:uid="{00000000-0002-0000-0200-000001000000}"/>
    <dataValidation allowBlank="1" showInputMessage="1" showErrorMessage="1" prompt="请填写实际收货时间。" sqref="C19:D19" xr:uid="{00000000-0002-0000-0200-000002000000}"/>
    <dataValidation type="list" allowBlank="1" showInputMessage="1" showErrorMessage="1" sqref="A1" xr:uid="{9B8E1B96-57F9-4AAC-931D-5DE70CFBC537}">
      <formula1>"采购交付单,采购验收书"</formula1>
    </dataValidation>
  </dataValidations>
  <pageMargins left="0.7" right="0.7" top="0.75" bottom="0.75" header="0.3" footer="0.3"/>
  <pageSetup paperSize="9" scale="76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5A80-EE48-45B3-AECC-33A5B48A0E75}">
  <sheetPr codeName="Sheet6"/>
  <dimension ref="A1:C7"/>
  <sheetViews>
    <sheetView workbookViewId="0">
      <selection activeCell="B7" sqref="B7"/>
    </sheetView>
  </sheetViews>
  <sheetFormatPr defaultColWidth="43.375" defaultRowHeight="13.5"/>
  <cols>
    <col min="1" max="1" width="21.875" bestFit="1" customWidth="1"/>
    <col min="2" max="2" width="27.625" bestFit="1" customWidth="1"/>
    <col min="3" max="3" width="8.875" bestFit="1" customWidth="1"/>
  </cols>
  <sheetData>
    <row r="1" spans="1:3" ht="14.25">
      <c r="A1" s="53" t="s">
        <v>64</v>
      </c>
      <c r="B1" s="53" t="s">
        <v>65</v>
      </c>
      <c r="C1" s="54" t="s">
        <v>66</v>
      </c>
    </row>
    <row r="2" spans="1:3" ht="14.25">
      <c r="A2" s="53" t="s">
        <v>67</v>
      </c>
      <c r="B2" s="53" t="s">
        <v>68</v>
      </c>
      <c r="C2" s="54" t="s">
        <v>69</v>
      </c>
    </row>
    <row r="3" spans="1:3" ht="14.25">
      <c r="A3" s="53" t="s">
        <v>70</v>
      </c>
      <c r="B3" s="53" t="s">
        <v>71</v>
      </c>
      <c r="C3" s="54" t="s">
        <v>72</v>
      </c>
    </row>
    <row r="4" spans="1:3" ht="14.25">
      <c r="A4" s="53" t="s">
        <v>73</v>
      </c>
      <c r="B4" s="53" t="s">
        <v>74</v>
      </c>
      <c r="C4" s="53" t="s">
        <v>75</v>
      </c>
    </row>
    <row r="5" spans="1:3" ht="14.25">
      <c r="A5" s="53" t="s">
        <v>76</v>
      </c>
      <c r="B5" s="53" t="s">
        <v>77</v>
      </c>
      <c r="C5" s="54" t="s">
        <v>78</v>
      </c>
    </row>
    <row r="6" spans="1:3" ht="14.25">
      <c r="A6" s="53" t="s">
        <v>79</v>
      </c>
      <c r="B6" s="53" t="s">
        <v>80</v>
      </c>
      <c r="C6" s="54" t="s">
        <v>81</v>
      </c>
    </row>
    <row r="7" spans="1:3" ht="14.25">
      <c r="A7" s="53" t="s">
        <v>82</v>
      </c>
      <c r="B7" s="53" t="s">
        <v>83</v>
      </c>
      <c r="C7" s="54" t="s">
        <v>84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4277c9-dafe-44aa-85a4-73d5c7c52450}" enabled="0" method="" siteId="{f54277c9-dafe-44aa-85a4-73d5c7c524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Acceptance Request</vt:lpstr>
      <vt:lpstr>Timesheet_Template</vt:lpstr>
      <vt:lpstr>Delivery Note</vt:lpstr>
      <vt:lpstr>Data</vt:lpstr>
      <vt:lpstr>'Acceptance Request'!Print_Area</vt:lpstr>
      <vt:lpstr>'Delivery Note'!Print_Area</vt:lpstr>
      <vt:lpstr>Timesheet_Template!Print_Area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Haibin</dc:creator>
  <cp:keywords/>
  <dc:description/>
  <cp:lastModifiedBy>贺衍 / HE，YAN</cp:lastModifiedBy>
  <cp:revision/>
  <dcterms:created xsi:type="dcterms:W3CDTF">2017-10-18T02:05:49Z</dcterms:created>
  <dcterms:modified xsi:type="dcterms:W3CDTF">2026-05-28T05:55:05Z</dcterms:modified>
  <cp:category/>
  <cp:contentStatus/>
</cp:coreProperties>
</file>